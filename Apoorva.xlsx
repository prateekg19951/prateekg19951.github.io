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finthrive-my.sharepoint.com/personal/prateek_gupta_nthrive_com/Documents/Desktop/"/>
    </mc:Choice>
  </mc:AlternateContent>
  <xr:revisionPtr revIDLastSave="32" documentId="8_{D2CB1E14-287F-4E18-9C2A-CD3A63805776}" xr6:coauthVersionLast="47" xr6:coauthVersionMax="47" xr10:uidLastSave="{9DAA94DB-E11F-4221-B0B7-7A5081949313}"/>
  <bookViews>
    <workbookView xWindow="-108" yWindow="-108" windowWidth="23256" windowHeight="12456" xr2:uid="{5CAB969A-8D72-4F61-893B-149D622851FA}"/>
  </bookViews>
  <sheets>
    <sheet name="Sheet1" sheetId="1" r:id="rId1"/>
    <sheet name="SQL-PRACTICE" sheetId="2" r:id="rId2"/>
  </sheets>
  <definedNames>
    <definedName name="_xlnm._FilterDatabase" localSheetId="1" hidden="1">'SQL-PRACTICE'!$A$2:$D$69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3" i="1"/>
  <c r="A4" i="1"/>
  <c r="A5" i="1"/>
  <c r="A6" i="1"/>
  <c r="A7" i="1"/>
  <c r="A8" i="1"/>
  <c r="A9" i="1"/>
  <c r="A10" i="1"/>
  <c r="A11" i="1"/>
  <c r="A12" i="1"/>
  <c r="A13" i="1"/>
  <c r="A14" i="1"/>
  <c r="A15" i="1"/>
  <c r="A16" i="1"/>
  <c r="A17" i="1"/>
  <c r="A18" i="1"/>
  <c r="A1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<sst xmlns="http://schemas.openxmlformats.org/spreadsheetml/2006/main" count="162" uniqueCount="157">
  <si>
    <t>https://www.sql-practice.com/</t>
  </si>
  <si>
    <t>https://sqlbolt.com/lesson/select_queries_review</t>
  </si>
  <si>
    <t>S.No</t>
  </si>
  <si>
    <t>Questions</t>
  </si>
  <si>
    <t>Answer</t>
  </si>
  <si>
    <t>Function used</t>
  </si>
  <si>
    <t>Show first name, last name, and gender of patients whose gender is 'M'</t>
  </si>
  <si>
    <t>SELECT first_name,last_name,gender FROM patients 
where gender = 'M';</t>
  </si>
  <si>
    <t xml:space="preserve"> WHERE</t>
  </si>
  <si>
    <t>Show first name and last name of patients who does not have allergies. (null)</t>
  </si>
  <si>
    <t>SELECT first_name,last_name FROM patients
where allergies IS null</t>
  </si>
  <si>
    <t>WHERE,NULL</t>
  </si>
  <si>
    <t>Show first name, starting with Letter C</t>
  </si>
  <si>
    <t>SELECT first_name FROM patients
where first_name like 'c%'
;</t>
  </si>
  <si>
    <t>WHERE, LIKE</t>
  </si>
  <si>
    <t>Show first name and last name of patients that weight within the range of 100 to 120 (inclusive)</t>
  </si>
  <si>
    <t>SELECT first_name,last_name FROM patients
where weight between 100 and 120 
;</t>
  </si>
  <si>
    <t>WHERE, BETWEEN</t>
  </si>
  <si>
    <t>Update the patients table for the allergies column. If the patient's allergies is null then replace it with 'NKA'</t>
  </si>
  <si>
    <t>update patients
set allergies = 'NKA'
where allergies IS null
;</t>
  </si>
  <si>
    <t>WHERE, UPDATE</t>
  </si>
  <si>
    <t>Show first name and last name concatinated into one column to show their full name.</t>
  </si>
  <si>
    <t>select concat (first_name,' ' ,last_name) as FULL_NAME
from patients;</t>
  </si>
  <si>
    <t>CONCAT</t>
  </si>
  <si>
    <t>Show first name, last name, and the full province name of each patient.
Example: 'Ontario' instead of 'ON'</t>
  </si>
  <si>
    <t>SELECT
  first_name,
  last_name,
  province_name
FROM patients
  JOIN province_names ON province_names.province_id = patients.province_id;</t>
  </si>
  <si>
    <t>JOIN</t>
  </si>
  <si>
    <t>Show how many patients have a birth_date with 2010 as the birth year.</t>
  </si>
  <si>
    <t>select count (patient_id) as total_patients
FROM patients
where YEAR (birth_date)= 2010
;</t>
  </si>
  <si>
    <t>COUNT,YEAR</t>
  </si>
  <si>
    <t>Show the first_name, last_name, and height of the patient with the greatest height.</t>
  </si>
  <si>
    <t xml:space="preserve">SELECT first_name, last_name, height
FROM patients
order by height desc
LIMIT 1
;
Method 2 - 
SELECT first_name, last_name, 
MAX(height) AS height
FROM patients;
</t>
  </si>
  <si>
    <t>MAX</t>
  </si>
  <si>
    <t>Show all columns for patients who have one of the following patient_ids:
1,45,534,879,1000</t>
  </si>
  <si>
    <t>select * FROM patients
where patient_id in (1,45,534,879,1000)
;</t>
  </si>
  <si>
    <t>IN</t>
  </si>
  <si>
    <t>Show the total number of admissions</t>
  </si>
  <si>
    <t>select count (patient_id) as total_admission
from admissions;</t>
  </si>
  <si>
    <t>COUNT</t>
  </si>
  <si>
    <t>Show all the columns from admissions where the patient was admitted and discharged on the same day.</t>
  </si>
  <si>
    <t>select * from admissions
where admission_date = discharge_date
;</t>
  </si>
  <si>
    <t>WHERE</t>
  </si>
  <si>
    <t>Show the patient id and the total number of admissions for patient_id 579.</t>
  </si>
  <si>
    <t>SELECT patient_id, COUNT(*) AS total_admissions
FROM admissions
WHERE patient_id = 579
;</t>
  </si>
  <si>
    <t>WHERE, COUNT</t>
  </si>
  <si>
    <t>Based on the cities that our patients live in, show unique cities that are in province_id 'NS'?</t>
  </si>
  <si>
    <t>SELECT DISTINCT(city) AS unique_cities
FROM patients
WHERE province_id = 'NS';
Method 2-
SELECT city
FROM patients
GROUP BY city
HAVING province_id = 'NS';</t>
  </si>
  <si>
    <t>WHERE, DISTINCT, GROUP BY, HAVING</t>
  </si>
  <si>
    <t>Write a query to find the first_name, last name and birth date of patients who has height greater than 160 and weight greater than 70</t>
  </si>
  <si>
    <t>select first_name,last_name,birth_date
FROM patients
where height &gt; 160 AND weight &gt; 70
;</t>
  </si>
  <si>
    <t>WHERE, AND</t>
  </si>
  <si>
    <t>Write a query to find list of patients first_name, last_name, and allergies where allergies are not null and are from the city of 'Hamilton'</t>
  </si>
  <si>
    <t>select first_name, last_name, allergies
FROM patients
where allergies IS not null AND
city = 'Hamilton';</t>
  </si>
  <si>
    <t>WHERE, NOT NULL, AND</t>
  </si>
  <si>
    <t>Show unique birth years from patients and order them by ascending.</t>
  </si>
  <si>
    <t>select distinct YEAR(birth_date)
FROM patients
order by year(birth_date) asc;</t>
  </si>
  <si>
    <t>YEAR</t>
  </si>
  <si>
    <t>Show unique first names from the patients table which only occurs once in the list.
For example, if two or more people are named 'John' in the first_name column then don't include their name in the output list. If only 1 person is named 'Leo' then include them in the output.</t>
  </si>
  <si>
    <t>select first_name
FROM patients
group by first_name
having count(first_name) = 1;</t>
  </si>
  <si>
    <t>GROUP BY, HAVING, COUNT</t>
  </si>
  <si>
    <t>Show patient_id and first_name from patients where their first_name start and ends with 's' and is at least 6 characters long.</t>
  </si>
  <si>
    <t>select patient_id, first_name
FROM patients
where first_name like 'S%%S' AND
LEN (first_name) &gt;= 6;</t>
  </si>
  <si>
    <t>WHERE, LIKE, AND, LEN</t>
  </si>
  <si>
    <t>Show patient_id, first_name, last_name from patients whos diagnosis is 'Dementia'.
Primary diagnosis is stored in the admissions table.</t>
  </si>
  <si>
    <t>select patients.patient_id, first_name, last_name 
FROM patients
join admissions ON admissions.patient_id=patients.patient_id
WHERE diagnosis = 'Dementia';</t>
  </si>
  <si>
    <t>WHERE, JOIN</t>
  </si>
  <si>
    <t>Display every patient's first_name.
Order the list by the length of each name and then by alphabetically.</t>
  </si>
  <si>
    <t>select first_name
FROM patients
order by LEN(first_name),
first_name</t>
  </si>
  <si>
    <t xml:space="preserve"> ORDER BY, LEN</t>
  </si>
  <si>
    <t>Show the total amount of male patients and the total amount of female patients in the patients table.
Display the two results in the same row.</t>
  </si>
  <si>
    <t>SELECT
(select count(*) from patients where gender='M') as Male_count,
(select count(*) from patients where gender='F') as female_count
;
Method 2-
select
(select count(gender) FROM patients where gender = 'M') AS male_count,
(select count(gender) FROM patients where gender = 'F') AS female_count;</t>
  </si>
  <si>
    <t>WHERE,COUNT</t>
  </si>
  <si>
    <t>Show first and last name, allergies from patients which have allergies to either 'Penicillin' or 'Morphine'. Show results ordered ascending by allergies then by first_name then by last_name.</t>
  </si>
  <si>
    <t>select first_name,last_name,allergies
from patients
where allergies IN ('Penicillin','Morphine')
order by allergies, first_name, last_name;</t>
  </si>
  <si>
    <t xml:space="preserve"> IN ,WHERE,ORDER BY</t>
  </si>
  <si>
    <t>Show patient_id, diagnosis from admissions. Find patients admitted multiple times for the same diagnosis.</t>
  </si>
  <si>
    <t>select patient_id,diagnosis 
from admissions
group by patient_id,diagnosis
having count(*) &gt; 1;</t>
  </si>
  <si>
    <t xml:space="preserve"> GROUP BY, HAVING</t>
  </si>
  <si>
    <t>Show the city and the total number of patients in the city.
Order from most to least patients and then by city name ascending.</t>
  </si>
  <si>
    <t>select city, count(patient_id) as total_number
from patients
group by city
order by total_number desc, city asc;</t>
  </si>
  <si>
    <t xml:space="preserve"> COUNT, GROUP BY, ORDER BY</t>
  </si>
  <si>
    <t>Show first name, last name and role of every person that is either patient or doctor.
The roles are either "Patient" or "Doctor"</t>
  </si>
  <si>
    <t>SELECT first_name, last_name, 'Patient' as role FROM patients
    union all
select first_name, last_name, 'Doctor' from doctors;</t>
  </si>
  <si>
    <t xml:space="preserve"> UNION  ALL</t>
  </si>
  <si>
    <t>Show all allergies ordered by popularity. Remove NULL values from query.</t>
  </si>
  <si>
    <t>select COUNT(patient_id) AS POPULARITY, allergies from patients
where allergies IS not null
group by allergies
order by POPULARITY desc;</t>
  </si>
  <si>
    <t xml:space="preserve"> COUNT, NULL, GROUP BY, ORDER BY</t>
  </si>
  <si>
    <t>Show all patient's first_name, last_name, and birth_date who were born in the 1970s decade. Sort the list starting from the earliest birth_date.</t>
  </si>
  <si>
    <t>select first_name, last_name, birth_date
from patients
where year(birth_date) between 1970 and 1979
order by (birth_date) asc;
Method 2-
SELECT first_name, last_name, birth_date
FROM patients
WHERE year(birth_date) LIKE '197%'
ORDER BY birth_date ASC;</t>
  </si>
  <si>
    <t xml:space="preserve"> WHERE, BETWEEN, ORDER BY, LIKE</t>
  </si>
  <si>
    <t>We want to display each patient's full name in a single column. Their last_name in all upper letters must appear first, then first_name in all lower case letters. Separate the last_name and first_name with a comma. Order the list by the first_name in decending order
EX: SMITH,jane</t>
  </si>
  <si>
    <t>select concat(upper(last_name),",",lower(first_name)) as Full_Name
from patients
order by first_name desc;</t>
  </si>
  <si>
    <t xml:space="preserve"> CONCAT, UPPER, LOWER, ORDER BY</t>
  </si>
  <si>
    <t>Show the province_id(s), sum of height; where the total sum of its patient's height is greater than or equal to 7,000.</t>
  </si>
  <si>
    <t>select province_id, sum(height) as abc
from patients
group by province_id
having abc &gt; 7000
;</t>
  </si>
  <si>
    <t xml:space="preserve"> SUM, GROUP BY, HAVING</t>
  </si>
  <si>
    <t>Show the difference between the largest weight and smallest weight for patients with the last name 'Maroni'</t>
  </si>
  <si>
    <t>SELECT MAX(weight) - MIN(weight) AS delta_weight
FROM patients
WHERE last_name LIKE '%Maroni'
GROUP BY last_name;</t>
  </si>
  <si>
    <t xml:space="preserve"> MAX, MIN, WHERE, LIKE, GROUP BY</t>
  </si>
  <si>
    <t>Show all of the days of the month (1-31) and how many admission_dates occurred on that day. Sort by the day with most admissions to least admissions.</t>
  </si>
  <si>
    <t>select DAY(admission_date), count(admission_date) AS FAD
FROM admissions
group by DAY(admission_date)
order by count(patient_id) desc;</t>
  </si>
  <si>
    <t xml:space="preserve"> DAY, COUNT, GROUP BY, ORDER BY</t>
  </si>
  <si>
    <t>Show all columns for patient_id 542's most recent admission_date.</t>
  </si>
  <si>
    <t>select * from admissions
where patient_id = 542
order by admission_date desc 
limit 1;</t>
  </si>
  <si>
    <t xml:space="preserve"> , WHERE, ORDER BY, DESC, LIMIT</t>
  </si>
  <si>
    <t>Show patient_id, attending_doctor_id, and diagnosis for admissions that match one of the two criteria:
1. patient_id is an odd number and attending_doctor_id is either 1, 5, or 19.
2. attending_doctor_id contains a 2 and the length of patient_id is 3 characters.</t>
  </si>
  <si>
    <t>select patient_id, attending_doctor_id, diagnosis
from admissions
where (patient_id % 2 &lt;&gt;  0  and
attending_doctor_id in (1,5,19)) or 
attending_doctor_id like '%2%' and
len(patient_id) =3;</t>
  </si>
  <si>
    <t>ODD,  WHERE, AND, OR, LEN</t>
  </si>
  <si>
    <t>Show first_name, last_name, and the total number of admissions attended for each doctor.
Every admission has been attended by a doctor.</t>
  </si>
  <si>
    <t>select first_name,last_name,count(admission_date) AS TOTAL_ADMISSION
from admissions
join doctors ON doctors.doctor_id=admissions.attending_doctor_id
group by attending_doctor_id;</t>
  </si>
  <si>
    <t xml:space="preserve"> COUNT, JOIN, GROUP BY</t>
  </si>
  <si>
    <t>For each doctor, display their id, full name, and the first and last admission date they attended.</t>
  </si>
  <si>
    <t>select attending_doctor_id AS Doctor_ID, concat(first_name,' ', last_name) as Full_Name, MIN(admission_date) as FAD, MAX(admission_date) as LAD
from admissions
join doctors ON doctors.doctor_id=admissions.attending_doctor_id
group by attending_doctor_id</t>
  </si>
  <si>
    <t xml:space="preserve"> CONCAT, MIN, MAX, JOIN, GROUP BY</t>
  </si>
  <si>
    <t>Display the total amount of patients for each province. Order by descending.</t>
  </si>
  <si>
    <t>select province_name, count(patient_id) as patient_count
FROM patients
join province_names ON province_names.province_id=patients.province_id
group by province_name
order by patient_count desc;</t>
  </si>
  <si>
    <t xml:space="preserve"> COUNT, JOIN, GROUP BY, ORDER BY</t>
  </si>
  <si>
    <t>For every admission, display the patient's full name, their admission diagnosis, and their doctor's full name who diagnosed their problem.</t>
  </si>
  <si>
    <t xml:space="preserve">select 
  concat(first_name," ",last_name) as Patient_name,diagnosis,doctor_name from patients 
  join admissions on admissions.patient_id=patients.patient_id
  join doctors ON doctors.doctor_id=admissions.attending_doctor_id;
</t>
  </si>
  <si>
    <t>select 
  concat(patients.first_name," ",patients.last_name) as Patient_name,diagnosis,
  CONCAT(doctors.first_name," ", doctors.last_name) AS doctor_name from patients 
  join admissions on admissions.patient_id=patients.patient_id
  join doctors ON doctors.doctor_id=admissions.attending_doctor_id;</t>
  </si>
  <si>
    <t xml:space="preserve"> CONCAT, JOIN</t>
  </si>
  <si>
    <t>display the first name, last name and number of duplicate patients based on their first name and last name.
Ex: A patient with an identical name can be considered a duplicate.</t>
  </si>
  <si>
    <t xml:space="preserve"> select first_name, last_name, count(*) AS Duplicate from patients
 group by first_name, last_name
 having count(*) &gt; 1;</t>
  </si>
  <si>
    <t xml:space="preserve"> , COUNT, GROUP BY, HAVING</t>
  </si>
  <si>
    <t>Display patient's full name,
height in the units feet rounded to 1 decimal,
weight in the unit pounds rounded to 0 decimals,
birth_date,
gender non abbreviated.
Convert CM to feet by dividing by 30.48.
Convert KG to pounds by multiplying by 2.205.</t>
  </si>
  <si>
    <t xml:space="preserve"> select 
 concat(first_name," ", last_name) AS Full_name, round(height/30.48,1) as height_ft, 
 round(weight*2.205, 0) as weight_pound,birth_date,
 case
 when gender = 'M' then 'Male'
 WHEN gender = 'F' THEN 'Female'
 end as gender_full
 from patients</t>
  </si>
  <si>
    <t xml:space="preserve"> ROUND, CASE</t>
  </si>
  <si>
    <t>Show patient_id, first_name, last_name from patients whose does not have any records in the admissions table. (Their patient_id does not exist in any admissions.patient_id rows.)</t>
  </si>
  <si>
    <t xml:space="preserve">select patient_id, first_name, last_name
from patients
where patient_id not in (select patient_id from admissions)  </t>
  </si>
  <si>
    <t>Show all of the patients grouped into weight groups.
Show the total amount of patients in each weight group.
Order the list by the weight group decending.
For example, if they weight 100 to 109 they are placed in the 100 weight group, 110-119 = 110 weight group, etc.</t>
  </si>
  <si>
    <t>SELECT (weight /10) *10 as weight_grp, count(*) AS TOTAL_COUNT  FROM patients
group by weight_grp
order by weight_grp desc</t>
  </si>
  <si>
    <t>Show patient_id, weight, height, isObese from the patients table.
Display isObese as a boolean 0 or 1.
Obese is defined as weight(kg)/(height(m)2) &gt;= 30.
weight is in units kg.
height is in units cm.</t>
  </si>
  <si>
    <t>SELECT 
    patient_id,
    weight,
    height,
    CASE
        WHEN weight / (POWER(height / 100.0, 2)) &gt;= 30 THEN 1
        ELSE 0 
    END AS isobese
FROM 
    patients;</t>
  </si>
  <si>
    <t xml:space="preserve"> CASE</t>
  </si>
  <si>
    <t>Show patient_id, first_name, last_name, and attending doctor's specialty.
Show only the patients who has a diagnosis as 'Epilepsy' and the doctor's first name is 'Lisa'
Check patients, admissions, and doctors tables for required information.</t>
  </si>
  <si>
    <t>SELECT 
    patients.patient_id,
    patients.first_name,
    patients.last_name,
    doctors.specialty
FROM 
    patients
JOIN 
    admissions ON admissions.patient_id = patients.patient_id
JOIN 
    doctors ON doctors.doctor_id = admissions.attending_doctor_id
WHERE 
    doctors.first_name = 'Lisa' AND
    admissions.diagnosis = 'Epilepsy';</t>
  </si>
  <si>
    <t xml:space="preserve"> JOIN, WHERE, AND</t>
  </si>
  <si>
    <t>Each admission costs $50 for patients without insurance, and $10 for patients with insurance. All patients with an even patient_id have insurance.
Give each patient a 'Yes' if they have insurance, and a 'No' if they don't have insurance. Add up the admission_total cost for each has_insurance group.</t>
  </si>
  <si>
    <t>SELECT
  CASE
    WHEN patient_id % 2 = 0 THEN 'Yes'
    ELSE 'No'
  END AS has_insurance,
  SUM(
    CASE
      WHEN patient_id % 2 = 0 THEN 10 -- Cost for patients with insurance
      ELSE 50 -- Cost for patients without insurance
    END
  ) AS cost_insurance
FROM admissions
GROUP BY has_insurance;</t>
  </si>
  <si>
    <t xml:space="preserve"> CASE, SUM,GROUP BY</t>
  </si>
  <si>
    <t>Show the provinces that has more patients identified as 'M' than 'F'. Must only show full province_name</t>
  </si>
  <si>
    <t>SELECT province_name
FROM patients
  join province_names using (province_id)
group BY province_name
HAVING sum(gender = 'M') &gt; sum(gender = 'F');</t>
  </si>
  <si>
    <t xml:space="preserve"> JOIN, GROUP BY, HAVING</t>
  </si>
  <si>
    <t>We are looking for a specific patient. Pull all columns for the patient who matches the following criteria:
- First_name contains an 'r' after the first two letters.
- Identifies their gender as 'F'
- Born in February, May, or December
- Their weight would be between 60kg and 80kg
- Their patient_id is an odd number
- They are from the city 'Kingston'</t>
  </si>
  <si>
    <t>SELECT *
FROM patients
where
  first_name like '__r%'
  and gender = 'F'
  AND month(birth_date) IN (2, 5, 12)
  and weight between 60 and 80
  and patient_id % 2 &lt;&gt; 0
  and city = 'Kingston';</t>
  </si>
  <si>
    <t xml:space="preserve"> WHERE, LIKE, BETWEEN, %,</t>
  </si>
  <si>
    <t>For each day display the total amount of admissions on that day. Display the amount changed from the previous date.</t>
  </si>
  <si>
    <t>SELECT admission_date, count(*) as admission_day,
  count(admission_date) - LAG(count(admission_date)) 
  OVER(order by admission_date) AS admission_count_change
FROM admissions
group by admission_date</t>
  </si>
  <si>
    <t>Formulae</t>
  </si>
  <si>
    <t>Que</t>
  </si>
  <si>
    <t>Combine the name with "_" in F2</t>
  </si>
  <si>
    <t>derive the first name from F2</t>
  </si>
  <si>
    <t>Difference b/w formula and function</t>
  </si>
  <si>
    <t>Excel</t>
  </si>
  <si>
    <t>Apoorva</t>
  </si>
  <si>
    <t>Bhist</t>
  </si>
  <si>
    <t>Practice on Another Excel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</si>
</sst>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b/>
      <sz val="11"/>
      <color theme="1"/>
      <name val="Calibri"/>
      <family val="2"/>
    </font>
    <font>
      <sz val="11"/>
      <color theme="1"/>
      <name val="Aptos Narrow"/>
      <family val="2"/>
      <scheme val="minor"/>
    </font>
    <font>
      <b/>
      <sz val="18"/>
      <color theme="0"/>
      <name val="Aptos Narrow"/>
      <family val="2"/>
      <scheme val="minor"/>
    </font>
    <font>
      <sz val="10"/>
      <color theme="1"/>
      <name val="Aptos Narrow"/>
      <family val="2"/>
      <scheme val="minor"/>
    </font>
    <font>
      <b/>
      <sz val="11"/>
      <name val="Calibri"/>
      <family val="2"/>
    </font>
  </fonts>
  <fills count="5">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cellStyleXfs>
  <cellXfs count="15">
    <xf numFmtId="0" fontId="0" fillId="0" borderId="0" xfId="0"/>
    <xf numFmtId="0" fontId="2" fillId="0" borderId="0" xfId="1" applyAlignment="1">
      <alignment wrapText="1"/>
    </xf>
    <xf numFmtId="0" fontId="2" fillId="0" borderId="0" xfId="1"/>
    <xf numFmtId="0" fontId="3" fillId="2" borderId="1" xfId="1" applyFont="1" applyFill="1" applyBorder="1" applyAlignment="1">
      <alignment wrapText="1"/>
    </xf>
    <xf numFmtId="0" fontId="2" fillId="0" borderId="1" xfId="1" applyBorder="1" applyAlignment="1">
      <alignment horizontal="left" vertical="top" wrapText="1"/>
    </xf>
    <xf numFmtId="0" fontId="2" fillId="3" borderId="1" xfId="1" applyFill="1" applyBorder="1" applyAlignment="1">
      <alignment horizontal="left" vertical="top" wrapText="1"/>
    </xf>
    <xf numFmtId="0" fontId="2" fillId="0" borderId="0" xfId="1" applyAlignment="1">
      <alignment horizontal="left" vertical="top" wrapText="1"/>
    </xf>
    <xf numFmtId="0" fontId="2" fillId="0" borderId="2" xfId="1" applyBorder="1" applyAlignment="1">
      <alignment horizontal="left" vertical="top" wrapText="1"/>
    </xf>
    <xf numFmtId="0" fontId="2" fillId="0" borderId="1" xfId="1" applyBorder="1" applyAlignment="1">
      <alignment horizontal="left" vertical="top"/>
    </xf>
    <xf numFmtId="0" fontId="2" fillId="0" borderId="1" xfId="1" applyBorder="1"/>
    <xf numFmtId="0" fontId="2" fillId="0" borderId="1" xfId="1" applyBorder="1" applyAlignment="1">
      <alignment wrapText="1"/>
    </xf>
    <xf numFmtId="0" fontId="4" fillId="0" borderId="0" xfId="0" applyFont="1" applyAlignment="1">
      <alignment horizontal="left"/>
    </xf>
    <xf numFmtId="0" fontId="4" fillId="0" borderId="0" xfId="0" applyFont="1"/>
    <xf numFmtId="0" fontId="1" fillId="0" borderId="0" xfId="0" applyFont="1" applyAlignment="1"/>
    <xf numFmtId="0" fontId="5" fillId="4" borderId="3" xfId="0" applyFont="1" applyFill="1" applyBorder="1"/>
  </cellXfs>
  <cellStyles count="2">
    <cellStyle name="Normal" xfId="0" builtinId="0"/>
    <cellStyle name="Normal 2" xfId="1" xr:uid="{819FA048-0FC1-4070-8228-66B9E81D85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4</xdr:col>
      <xdr:colOff>411479</xdr:colOff>
      <xdr:row>1</xdr:row>
      <xdr:rowOff>15240</xdr:rowOff>
    </xdr:from>
    <xdr:to>
      <xdr:col>9</xdr:col>
      <xdr:colOff>337456</xdr:colOff>
      <xdr:row>11</xdr:row>
      <xdr:rowOff>359228</xdr:rowOff>
    </xdr:to>
    <xdr:sp macro="" textlink="">
      <xdr:nvSpPr>
        <xdr:cNvPr id="2" name="TextBox 1">
          <a:extLst>
            <a:ext uri="{FF2B5EF4-FFF2-40B4-BE49-F238E27FC236}">
              <a16:creationId xmlns:a16="http://schemas.microsoft.com/office/drawing/2014/main" id="{A63FEA9F-6159-4C8F-A9AA-26D4F4F9B058}"/>
            </a:ext>
          </a:extLst>
        </xdr:cNvPr>
        <xdr:cNvSpPr txBox="1"/>
      </xdr:nvSpPr>
      <xdr:spPr>
        <a:xfrm>
          <a:off x="17503139" y="746760"/>
          <a:ext cx="2973977" cy="7407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General Order	:</a:t>
          </a:r>
        </a:p>
        <a:p>
          <a:r>
            <a:rPr lang="en-US" sz="1100"/>
            <a:t>Select</a:t>
          </a:r>
          <a:r>
            <a:rPr lang="en-US" sz="1100" baseline="0"/>
            <a:t> * Column</a:t>
          </a:r>
        </a:p>
        <a:p>
          <a:r>
            <a:rPr lang="en-US" sz="1100" baseline="0"/>
            <a:t>from table_name</a:t>
          </a:r>
        </a:p>
        <a:p>
          <a:r>
            <a:rPr lang="en-US" sz="1100" baseline="0"/>
            <a:t>where condition</a:t>
          </a:r>
        </a:p>
        <a:p>
          <a:r>
            <a:rPr lang="en-US" sz="1100" baseline="0"/>
            <a:t>group by column(s); ex- city</a:t>
          </a:r>
        </a:p>
        <a:p>
          <a:r>
            <a:rPr lang="en-US" sz="1100" baseline="0"/>
            <a:t>having condition; ex-max(marks) &gt;90</a:t>
          </a:r>
        </a:p>
        <a:p>
          <a:r>
            <a:rPr lang="en-US" sz="1100" baseline="0"/>
            <a:t>order by column(s) asc or desc;</a:t>
          </a:r>
        </a:p>
        <a:p>
          <a:endParaRPr lang="en-US" sz="1100" baseline="0"/>
        </a:p>
        <a:p>
          <a:endParaRPr lang="en-US" sz="1100" baseline="0"/>
        </a:p>
        <a:p>
          <a:endParaRPr lang="en-US" sz="1100" baseline="0"/>
        </a:p>
        <a:p>
          <a:pPr algn="l"/>
          <a:r>
            <a:rPr lang="en-US" sz="1100" baseline="0"/>
            <a:t>concat and concat_ws</a:t>
          </a:r>
        </a:p>
        <a:p>
          <a:pPr algn="l"/>
          <a:r>
            <a:rPr lang="en-US" sz="1100" baseline="0"/>
            <a:t>left, right, mid, </a:t>
          </a:r>
        </a:p>
        <a:p>
          <a:pPr algn="l"/>
          <a:r>
            <a:rPr lang="en-US" sz="1100" baseline="0"/>
            <a:t>length(column name) as count_name</a:t>
          </a:r>
        </a:p>
        <a:p>
          <a:pPr algn="l"/>
          <a:r>
            <a:rPr lang="en-US" sz="1100" baseline="0"/>
            <a:t>truncate - to set values after decimal.</a:t>
          </a:r>
        </a:p>
        <a:p>
          <a:pPr algn="l"/>
          <a:r>
            <a:rPr lang="en-US" sz="1100" baseline="0"/>
            <a:t>select truncate (col_name,0) from table_name;</a:t>
          </a:r>
        </a:p>
        <a:p>
          <a:pPr algn="l"/>
          <a:r>
            <a:rPr lang="en-US" sz="1100" baseline="0"/>
            <a:t>ceil - to round off to higher value</a:t>
          </a:r>
        </a:p>
        <a:p>
          <a:pPr algn="l"/>
          <a:r>
            <a:rPr lang="en-US" sz="1100" baseline="0"/>
            <a:t>floor-</a:t>
          </a:r>
          <a:r>
            <a:rPr lang="en-US" sz="1100" baseline="0">
              <a:solidFill>
                <a:schemeClr val="dk1"/>
              </a:solidFill>
              <a:effectLst/>
              <a:latin typeface="+mn-lt"/>
              <a:ea typeface="+mn-ea"/>
              <a:cs typeface="+mn-cs"/>
            </a:rPr>
            <a:t>to round off to lower value</a:t>
          </a:r>
        </a:p>
        <a:p>
          <a:pPr algn="l"/>
          <a:r>
            <a:rPr lang="en-US" sz="1100" baseline="0">
              <a:solidFill>
                <a:schemeClr val="dk1"/>
              </a:solidFill>
              <a:effectLst/>
              <a:latin typeface="+mn-lt"/>
              <a:ea typeface="+mn-ea"/>
              <a:cs typeface="+mn-cs"/>
            </a:rPr>
            <a:t>datediff - find difference between two dates.</a:t>
          </a:r>
        </a:p>
        <a:p>
          <a:pPr algn="l"/>
          <a:r>
            <a:rPr lang="en-US" sz="1100" baseline="0">
              <a:solidFill>
                <a:schemeClr val="dk1"/>
              </a:solidFill>
              <a:effectLst/>
              <a:latin typeface="+mn-lt"/>
              <a:ea typeface="+mn-ea"/>
              <a:cs typeface="+mn-cs"/>
            </a:rPr>
            <a:t>hour and minute- to extract hour and minute</a:t>
          </a:r>
        </a:p>
        <a:p>
          <a:pPr algn="l"/>
          <a:endParaRPr lang="en-US" sz="1100" baseline="0">
            <a:solidFill>
              <a:schemeClr val="dk1"/>
            </a:solidFill>
            <a:effectLst/>
            <a:latin typeface="+mn-lt"/>
            <a:ea typeface="+mn-ea"/>
            <a:cs typeface="+mn-cs"/>
          </a:endParaRPr>
        </a:p>
        <a:p>
          <a:pPr algn="l"/>
          <a:r>
            <a:rPr lang="en-US" sz="1100" b="1" baseline="0">
              <a:solidFill>
                <a:schemeClr val="dk1"/>
              </a:solidFill>
              <a:effectLst/>
              <a:latin typeface="+mn-lt"/>
              <a:ea typeface="+mn-ea"/>
              <a:cs typeface="+mn-cs"/>
            </a:rPr>
            <a:t>CASE - To create Conditional column;</a:t>
          </a:r>
        </a:p>
        <a:p>
          <a:pPr algn="l"/>
          <a:endParaRPr lang="en-US" sz="1100" b="1" baseline="0">
            <a:solidFill>
              <a:schemeClr val="dk1"/>
            </a:solidFill>
            <a:effectLst/>
            <a:latin typeface="+mn-lt"/>
            <a:ea typeface="+mn-ea"/>
            <a:cs typeface="+mn-cs"/>
          </a:endParaRPr>
        </a:p>
        <a:p>
          <a:pPr algn="l"/>
          <a:endParaRPr lang="en-US" sz="1100" b="1" baseline="0">
            <a:solidFill>
              <a:schemeClr val="dk1"/>
            </a:solidFill>
            <a:effectLst/>
            <a:latin typeface="+mn-lt"/>
            <a:ea typeface="+mn-ea"/>
            <a:cs typeface="+mn-cs"/>
          </a:endParaRPr>
        </a:p>
        <a:p>
          <a:pPr algn="l"/>
          <a:r>
            <a:rPr lang="en-US" sz="1100" b="1" baseline="0">
              <a:solidFill>
                <a:schemeClr val="dk1"/>
              </a:solidFill>
              <a:effectLst/>
              <a:latin typeface="+mn-lt"/>
              <a:ea typeface="+mn-ea"/>
              <a:cs typeface="+mn-cs"/>
            </a:rPr>
            <a:t>Query Example - </a:t>
          </a:r>
        </a:p>
        <a:p>
          <a:pPr algn="l"/>
          <a:endParaRPr lang="en-US" sz="1100" b="1" baseline="0">
            <a:solidFill>
              <a:schemeClr val="dk1"/>
            </a:solidFill>
            <a:effectLst/>
            <a:latin typeface="+mn-lt"/>
            <a:ea typeface="+mn-ea"/>
            <a:cs typeface="+mn-cs"/>
          </a:endParaRPr>
        </a:p>
        <a:p>
          <a:pPr algn="l"/>
          <a:r>
            <a:rPr lang="en-US" sz="1100" b="1" baseline="0">
              <a:solidFill>
                <a:schemeClr val="dk1"/>
              </a:solidFill>
              <a:effectLst/>
              <a:latin typeface="+mn-lt"/>
              <a:ea typeface="+mn-ea"/>
              <a:cs typeface="+mn-cs"/>
            </a:rPr>
            <a:t>select productname, quantity</a:t>
          </a:r>
        </a:p>
        <a:p>
          <a:pPr algn="l"/>
          <a:r>
            <a:rPr lang="en-US" sz="1100" b="1" baseline="0">
              <a:solidFill>
                <a:schemeClr val="dk1"/>
              </a:solidFill>
              <a:effectLst/>
              <a:latin typeface="+mn-lt"/>
              <a:ea typeface="+mn-ea"/>
              <a:cs typeface="+mn-cs"/>
            </a:rPr>
            <a:t>case</a:t>
          </a:r>
        </a:p>
        <a:p>
          <a:pPr algn="l"/>
          <a:r>
            <a:rPr lang="en-US" sz="1100" b="1" baseline="0">
              <a:solidFill>
                <a:schemeClr val="dk1"/>
              </a:solidFill>
              <a:effectLst/>
              <a:latin typeface="+mn-lt"/>
              <a:ea typeface="+mn-ea"/>
              <a:cs typeface="+mn-cs"/>
            </a:rPr>
            <a:t>when quantity &lt; 500 then "More stock needed"</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when quantity &lt; 1000 then "avg stock"</a:t>
          </a:r>
        </a:p>
        <a:p>
          <a:pPr algn="l"/>
          <a:r>
            <a:rPr lang="en-US" sz="1100" b="1" baseline="0">
              <a:solidFill>
                <a:schemeClr val="dk1"/>
              </a:solidFill>
              <a:effectLst/>
              <a:latin typeface="+mn-lt"/>
              <a:ea typeface="+mn-ea"/>
              <a:cs typeface="+mn-cs"/>
            </a:rPr>
            <a:t>else "no stock required"</a:t>
          </a:r>
        </a:p>
        <a:p>
          <a:pPr algn="l"/>
          <a:r>
            <a:rPr lang="en-US" sz="1100" b="1" baseline="0">
              <a:solidFill>
                <a:schemeClr val="dk1"/>
              </a:solidFill>
              <a:effectLst/>
              <a:latin typeface="+mn-lt"/>
              <a:ea typeface="+mn-ea"/>
              <a:cs typeface="+mn-cs"/>
            </a:rPr>
            <a:t>end as Production details</a:t>
          </a:r>
        </a:p>
        <a:p>
          <a:pPr algn="l"/>
          <a:r>
            <a:rPr lang="en-US" sz="1100" b="1" baseline="0">
              <a:solidFill>
                <a:schemeClr val="dk1"/>
              </a:solidFill>
              <a:effectLst/>
              <a:latin typeface="+mn-lt"/>
              <a:ea typeface="+mn-ea"/>
              <a:cs typeface="+mn-cs"/>
            </a:rPr>
            <a:t>form table_name</a:t>
          </a:r>
        </a:p>
        <a:p>
          <a:pPr algn="l"/>
          <a:endParaRPr lang="en-US" sz="1100" b="1" baseline="0">
            <a:solidFill>
              <a:schemeClr val="dk1"/>
            </a:solidFill>
            <a:effectLst/>
            <a:latin typeface="+mn-lt"/>
            <a:ea typeface="+mn-ea"/>
            <a:cs typeface="+mn-cs"/>
          </a:endParaRPr>
        </a:p>
        <a:p>
          <a:pPr algn="l"/>
          <a:endParaRPr lang="en-US" sz="1100" b="1" baseline="0">
            <a:solidFill>
              <a:schemeClr val="dk1"/>
            </a:solidFill>
            <a:effectLst/>
            <a:latin typeface="+mn-lt"/>
            <a:ea typeface="+mn-ea"/>
            <a:cs typeface="+mn-cs"/>
          </a:endParaRPr>
        </a:p>
        <a:p>
          <a:pPr algn="l"/>
          <a:r>
            <a:rPr lang="en-US" sz="1100" b="1" baseline="0">
              <a:solidFill>
                <a:schemeClr val="dk1"/>
              </a:solidFill>
              <a:effectLst/>
              <a:latin typeface="+mn-lt"/>
              <a:ea typeface="+mn-ea"/>
              <a:cs typeface="+mn-cs"/>
            </a:rPr>
            <a:t>for IPLAN - </a:t>
          </a:r>
        </a:p>
        <a:p>
          <a:pPr algn="l"/>
          <a:r>
            <a:rPr lang="en-US" sz="1100" b="1" baseline="0">
              <a:solidFill>
                <a:schemeClr val="dk1"/>
              </a:solidFill>
              <a:effectLst/>
              <a:latin typeface="+mn-lt"/>
              <a:ea typeface="+mn-ea"/>
              <a:cs typeface="+mn-cs"/>
            </a:rPr>
            <a:t>select first_name from employee1,</a:t>
          </a:r>
        </a:p>
        <a:p>
          <a:pPr algn="l"/>
          <a:r>
            <a:rPr lang="en-US" sz="1100" b="1" baseline="0">
              <a:solidFill>
                <a:schemeClr val="dk1"/>
              </a:solidFill>
              <a:effectLst/>
              <a:latin typeface="+mn-lt"/>
              <a:ea typeface="+mn-ea"/>
              <a:cs typeface="+mn-cs"/>
            </a:rPr>
            <a:t>where first_name in (select first_name from employee2)</a:t>
          </a:r>
          <a:endParaRPr lang="en-US" sz="1100" b="1"/>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ql-practi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BA25-8DDC-4B2F-832B-F1C9B20633F2}">
  <dimension ref="A1:H19"/>
  <sheetViews>
    <sheetView showFormulas="1" tabSelected="1" workbookViewId="0"/>
  </sheetViews>
  <sheetFormatPr defaultColWidth="15.77734375" defaultRowHeight="14.4" x14ac:dyDescent="0.3"/>
  <cols>
    <col min="1" max="2" width="8.88671875" customWidth="1"/>
  </cols>
  <sheetData>
    <row r="1" spans="1:8" x14ac:dyDescent="0.3">
      <c r="A1" s="11" t="s">
        <v>148</v>
      </c>
      <c r="B1" s="13" t="s">
        <v>153</v>
      </c>
      <c r="C1" s="13"/>
      <c r="D1" s="13"/>
      <c r="E1" s="13"/>
      <c r="F1" s="13"/>
    </row>
    <row r="2" spans="1:8" x14ac:dyDescent="0.3">
      <c r="A2" t="e" vm="1">
        <f>_xleta.SUMIF</f>
        <v>#VALUE!</v>
      </c>
      <c r="B2" t="s">
        <v>149</v>
      </c>
      <c r="C2" s="12" t="s">
        <v>150</v>
      </c>
      <c r="D2" t="s">
        <v>154</v>
      </c>
      <c r="E2" t="s">
        <v>155</v>
      </c>
      <c r="H2" s="12"/>
    </row>
    <row r="3" spans="1:8" x14ac:dyDescent="0.3">
      <c r="A3" t="e" vm="1">
        <f>_xleta.COUNTIF</f>
        <v>#VALUE!</v>
      </c>
      <c r="B3" t="s">
        <v>149</v>
      </c>
      <c r="C3" s="12" t="s">
        <v>151</v>
      </c>
      <c r="H3" s="12"/>
    </row>
    <row r="4" spans="1:8" x14ac:dyDescent="0.3">
      <c r="A4" t="e" vm="1">
        <f>_xleta.IFNA</f>
        <v>#VALUE!</v>
      </c>
      <c r="B4" t="s">
        <v>149</v>
      </c>
      <c r="C4" s="12" t="s">
        <v>152</v>
      </c>
      <c r="H4" s="12"/>
    </row>
    <row r="5" spans="1:8" x14ac:dyDescent="0.3">
      <c r="A5" t="e" vm="1">
        <f>_xleta.ISNA</f>
        <v>#VALUE!</v>
      </c>
      <c r="C5" s="12"/>
    </row>
    <row r="6" spans="1:8" x14ac:dyDescent="0.3">
      <c r="A6" t="e" vm="1">
        <f ca="1">_xleta.TODAY</f>
        <v>#VALUE!</v>
      </c>
      <c r="C6" s="12"/>
    </row>
    <row r="7" spans="1:8" x14ac:dyDescent="0.3">
      <c r="A7" t="e" vm="1">
        <f>_xleta.INDEX</f>
        <v>#VALUE!</v>
      </c>
      <c r="C7" s="12"/>
    </row>
    <row r="8" spans="1:8" x14ac:dyDescent="0.3">
      <c r="A8" t="e" vm="1">
        <f>_xleta.MATCH</f>
        <v>#VALUE!</v>
      </c>
      <c r="C8" s="12"/>
    </row>
    <row r="9" spans="1:8" x14ac:dyDescent="0.3">
      <c r="A9" t="e" vm="1">
        <f>_xleta.PROPER</f>
        <v>#VALUE!</v>
      </c>
      <c r="C9" s="12"/>
    </row>
    <row r="10" spans="1:8" x14ac:dyDescent="0.3">
      <c r="A10" t="e" vm="1">
        <f>_xleta.IF</f>
        <v>#VALUE!</v>
      </c>
      <c r="C10" s="12"/>
    </row>
    <row r="11" spans="1:8" x14ac:dyDescent="0.3">
      <c r="A11" t="e" vm="1">
        <f>_xleta.AND</f>
        <v>#VALUE!</v>
      </c>
      <c r="C11" s="12"/>
    </row>
    <row r="12" spans="1:8" x14ac:dyDescent="0.3">
      <c r="A12" t="e" vm="1">
        <f>_xleta.CONCAT</f>
        <v>#VALUE!</v>
      </c>
      <c r="E12" s="12"/>
    </row>
    <row r="13" spans="1:8" x14ac:dyDescent="0.3">
      <c r="A13" t="e" vm="1">
        <f>_xleta.TEXTJOIN</f>
        <v>#VALUE!</v>
      </c>
      <c r="E13" s="12"/>
    </row>
    <row r="14" spans="1:8" ht="15" thickBot="1" x14ac:dyDescent="0.35">
      <c r="A14" t="e" vm="1">
        <f>_xleta.TEXTSPLIT</f>
        <v>#VALUE!</v>
      </c>
    </row>
    <row r="15" spans="1:8" ht="15" thickBot="1" x14ac:dyDescent="0.35">
      <c r="A15" t="e" vm="1">
        <f>_xleta.VLOOKUP</f>
        <v>#VALUE!</v>
      </c>
      <c r="E15" s="14" t="s">
        <v>156</v>
      </c>
    </row>
    <row r="16" spans="1:8" x14ac:dyDescent="0.3">
      <c r="A16" t="e" vm="1">
        <f>_xleta.XLOOKUP</f>
        <v>#VALUE!</v>
      </c>
    </row>
    <row r="17" spans="1:1" x14ac:dyDescent="0.3">
      <c r="A17" t="e" vm="1">
        <f>_xleta.HLOOKUP</f>
        <v>#VALUE!</v>
      </c>
    </row>
    <row r="18" spans="1:1" x14ac:dyDescent="0.3">
      <c r="A18" t="e" vm="1">
        <f>_xleta.LEFT</f>
        <v>#VALUE!</v>
      </c>
    </row>
    <row r="19" spans="1:1" x14ac:dyDescent="0.3">
      <c r="A19" t="e" vm="1">
        <f>_xleta.FIND</f>
        <v>#VALUE!</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39DC0-12BA-49DC-A52C-2D1AE5614A4B}">
  <sheetPr codeName="Sheet2"/>
  <dimension ref="A1:D51"/>
  <sheetViews>
    <sheetView zoomScale="70" zoomScaleNormal="70" workbookViewId="0">
      <selection activeCell="B1" sqref="B1"/>
    </sheetView>
  </sheetViews>
  <sheetFormatPr defaultRowHeight="14.4" x14ac:dyDescent="0.3"/>
  <cols>
    <col min="1" max="1" width="8.88671875" style="2"/>
    <col min="2" max="2" width="134.5546875" style="2" customWidth="1"/>
    <col min="3" max="3" width="67.109375" style="2" bestFit="1" customWidth="1"/>
    <col min="4" max="4" width="38.6640625" style="2" bestFit="1" customWidth="1"/>
    <col min="5" max="16384" width="8.88671875" style="2"/>
  </cols>
  <sheetData>
    <row r="1" spans="1:4" ht="57.6" x14ac:dyDescent="0.3">
      <c r="A1" s="1" t="s">
        <v>0</v>
      </c>
      <c r="B1" s="1" t="s">
        <v>1</v>
      </c>
      <c r="C1" s="1"/>
      <c r="D1" s="1"/>
    </row>
    <row r="2" spans="1:4" ht="23.4" x14ac:dyDescent="0.45">
      <c r="A2" s="3" t="s">
        <v>2</v>
      </c>
      <c r="B2" s="3" t="s">
        <v>3</v>
      </c>
      <c r="C2" s="3" t="s">
        <v>4</v>
      </c>
      <c r="D2" s="3" t="s">
        <v>5</v>
      </c>
    </row>
    <row r="3" spans="1:4" ht="28.8" x14ac:dyDescent="0.3">
      <c r="A3" s="4">
        <v>1</v>
      </c>
      <c r="B3" s="4" t="s">
        <v>6</v>
      </c>
      <c r="C3" s="4" t="s">
        <v>7</v>
      </c>
      <c r="D3" s="4" t="s">
        <v>8</v>
      </c>
    </row>
    <row r="4" spans="1:4" ht="28.8" x14ac:dyDescent="0.3">
      <c r="A4" s="4">
        <v>2</v>
      </c>
      <c r="B4" s="4" t="s">
        <v>9</v>
      </c>
      <c r="C4" s="4" t="s">
        <v>10</v>
      </c>
      <c r="D4" s="4" t="s">
        <v>11</v>
      </c>
    </row>
    <row r="5" spans="1:4" ht="43.2" x14ac:dyDescent="0.3">
      <c r="A5" s="4">
        <v>3</v>
      </c>
      <c r="B5" s="4" t="s">
        <v>12</v>
      </c>
      <c r="C5" s="4" t="s">
        <v>13</v>
      </c>
      <c r="D5" s="4" t="s">
        <v>14</v>
      </c>
    </row>
    <row r="6" spans="1:4" ht="43.2" x14ac:dyDescent="0.3">
      <c r="A6" s="4">
        <v>4</v>
      </c>
      <c r="B6" s="4" t="s">
        <v>15</v>
      </c>
      <c r="C6" s="4" t="s">
        <v>16</v>
      </c>
      <c r="D6" s="4" t="s">
        <v>17</v>
      </c>
    </row>
    <row r="7" spans="1:4" ht="57.6" x14ac:dyDescent="0.3">
      <c r="A7" s="4">
        <v>5</v>
      </c>
      <c r="B7" s="4" t="s">
        <v>18</v>
      </c>
      <c r="C7" s="4" t="s">
        <v>19</v>
      </c>
      <c r="D7" s="4" t="s">
        <v>20</v>
      </c>
    </row>
    <row r="8" spans="1:4" ht="28.8" x14ac:dyDescent="0.3">
      <c r="A8" s="4">
        <v>6</v>
      </c>
      <c r="B8" s="4" t="s">
        <v>21</v>
      </c>
      <c r="C8" s="4" t="s">
        <v>22</v>
      </c>
      <c r="D8" s="4" t="s">
        <v>23</v>
      </c>
    </row>
    <row r="9" spans="1:4" ht="86.4" x14ac:dyDescent="0.3">
      <c r="A9" s="5">
        <v>7</v>
      </c>
      <c r="B9" s="4" t="s">
        <v>24</v>
      </c>
      <c r="C9" s="4" t="s">
        <v>25</v>
      </c>
      <c r="D9" s="4" t="s">
        <v>26</v>
      </c>
    </row>
    <row r="10" spans="1:4" ht="57.6" x14ac:dyDescent="0.3">
      <c r="A10" s="4">
        <v>8</v>
      </c>
      <c r="B10" s="4" t="s">
        <v>27</v>
      </c>
      <c r="C10" s="4" t="s">
        <v>28</v>
      </c>
      <c r="D10" s="4" t="s">
        <v>29</v>
      </c>
    </row>
    <row r="11" spans="1:4" ht="158.4" x14ac:dyDescent="0.3">
      <c r="A11" s="4">
        <v>9</v>
      </c>
      <c r="B11" s="4" t="s">
        <v>30</v>
      </c>
      <c r="C11" s="4" t="s">
        <v>31</v>
      </c>
      <c r="D11" s="4" t="s">
        <v>32</v>
      </c>
    </row>
    <row r="12" spans="1:4" ht="43.2" x14ac:dyDescent="0.3">
      <c r="A12" s="4">
        <v>10</v>
      </c>
      <c r="B12" s="4" t="s">
        <v>33</v>
      </c>
      <c r="C12" s="4" t="s">
        <v>34</v>
      </c>
      <c r="D12" s="4" t="s">
        <v>35</v>
      </c>
    </row>
    <row r="13" spans="1:4" ht="28.8" x14ac:dyDescent="0.3">
      <c r="A13" s="4">
        <v>11</v>
      </c>
      <c r="B13" s="4" t="s">
        <v>36</v>
      </c>
      <c r="C13" s="4" t="s">
        <v>37</v>
      </c>
      <c r="D13" s="4" t="s">
        <v>38</v>
      </c>
    </row>
    <row r="14" spans="1:4" ht="43.2" x14ac:dyDescent="0.3">
      <c r="A14" s="4">
        <v>12</v>
      </c>
      <c r="B14" s="4" t="s">
        <v>39</v>
      </c>
      <c r="C14" s="4" t="s">
        <v>40</v>
      </c>
      <c r="D14" s="4" t="s">
        <v>41</v>
      </c>
    </row>
    <row r="15" spans="1:4" ht="57.6" x14ac:dyDescent="0.3">
      <c r="A15" s="4">
        <v>13</v>
      </c>
      <c r="B15" s="4" t="s">
        <v>42</v>
      </c>
      <c r="C15" s="4" t="s">
        <v>43</v>
      </c>
      <c r="D15" s="4" t="s">
        <v>44</v>
      </c>
    </row>
    <row r="16" spans="1:4" ht="129.6" x14ac:dyDescent="0.3">
      <c r="A16" s="4">
        <v>14</v>
      </c>
      <c r="B16" s="4" t="s">
        <v>45</v>
      </c>
      <c r="C16" s="4" t="s">
        <v>46</v>
      </c>
      <c r="D16" s="4" t="s">
        <v>47</v>
      </c>
    </row>
    <row r="17" spans="1:4" ht="57.6" x14ac:dyDescent="0.3">
      <c r="A17" s="4">
        <v>15</v>
      </c>
      <c r="B17" s="4" t="s">
        <v>48</v>
      </c>
      <c r="C17" s="4" t="s">
        <v>49</v>
      </c>
      <c r="D17" s="4" t="s">
        <v>50</v>
      </c>
    </row>
    <row r="18" spans="1:4" ht="57.6" x14ac:dyDescent="0.3">
      <c r="A18" s="4">
        <v>16</v>
      </c>
      <c r="B18" s="4" t="s">
        <v>51</v>
      </c>
      <c r="C18" s="4" t="s">
        <v>52</v>
      </c>
      <c r="D18" s="4" t="s">
        <v>53</v>
      </c>
    </row>
    <row r="19" spans="1:4" ht="43.2" x14ac:dyDescent="0.3">
      <c r="A19" s="4">
        <v>17</v>
      </c>
      <c r="B19" s="4" t="s">
        <v>54</v>
      </c>
      <c r="C19" s="4" t="s">
        <v>55</v>
      </c>
      <c r="D19" s="4" t="s">
        <v>56</v>
      </c>
    </row>
    <row r="20" spans="1:4" ht="57.6" x14ac:dyDescent="0.3">
      <c r="A20" s="4">
        <v>18</v>
      </c>
      <c r="B20" s="4" t="s">
        <v>57</v>
      </c>
      <c r="C20" s="4" t="s">
        <v>58</v>
      </c>
      <c r="D20" s="4" t="s">
        <v>59</v>
      </c>
    </row>
    <row r="21" spans="1:4" ht="57.6" x14ac:dyDescent="0.3">
      <c r="A21" s="4">
        <v>19</v>
      </c>
      <c r="B21" s="4" t="s">
        <v>60</v>
      </c>
      <c r="C21" s="4" t="s">
        <v>61</v>
      </c>
      <c r="D21" s="4" t="s">
        <v>62</v>
      </c>
    </row>
    <row r="22" spans="1:4" ht="57.6" x14ac:dyDescent="0.3">
      <c r="A22" s="4">
        <v>20</v>
      </c>
      <c r="B22" s="4" t="s">
        <v>63</v>
      </c>
      <c r="C22" s="4" t="s">
        <v>64</v>
      </c>
      <c r="D22" s="4" t="s">
        <v>65</v>
      </c>
    </row>
    <row r="23" spans="1:4" ht="57.6" x14ac:dyDescent="0.3">
      <c r="A23" s="4">
        <v>21</v>
      </c>
      <c r="B23" s="4" t="s">
        <v>66</v>
      </c>
      <c r="C23" s="4" t="s">
        <v>67</v>
      </c>
      <c r="D23" s="4" t="s">
        <v>68</v>
      </c>
    </row>
    <row r="24" spans="1:4" ht="144" x14ac:dyDescent="0.3">
      <c r="A24" s="4">
        <v>22</v>
      </c>
      <c r="B24" s="6" t="s">
        <v>69</v>
      </c>
      <c r="C24" s="6" t="s">
        <v>70</v>
      </c>
      <c r="D24" s="4" t="s">
        <v>71</v>
      </c>
    </row>
    <row r="25" spans="1:4" ht="57.6" x14ac:dyDescent="0.3">
      <c r="A25" s="4">
        <v>23</v>
      </c>
      <c r="B25" s="4" t="s">
        <v>72</v>
      </c>
      <c r="C25" s="4" t="s">
        <v>73</v>
      </c>
      <c r="D25" s="4" t="s">
        <v>74</v>
      </c>
    </row>
    <row r="26" spans="1:4" ht="57.6" x14ac:dyDescent="0.3">
      <c r="A26" s="4">
        <v>24</v>
      </c>
      <c r="B26" s="4" t="s">
        <v>75</v>
      </c>
      <c r="C26" s="4" t="s">
        <v>76</v>
      </c>
      <c r="D26" s="4" t="s">
        <v>77</v>
      </c>
    </row>
    <row r="27" spans="1:4" ht="57.6" x14ac:dyDescent="0.3">
      <c r="A27" s="4">
        <v>25</v>
      </c>
      <c r="B27" s="4" t="s">
        <v>78</v>
      </c>
      <c r="C27" s="4" t="s">
        <v>79</v>
      </c>
      <c r="D27" s="4" t="s">
        <v>80</v>
      </c>
    </row>
    <row r="28" spans="1:4" ht="43.2" x14ac:dyDescent="0.3">
      <c r="A28" s="5">
        <v>26</v>
      </c>
      <c r="B28" s="6" t="s">
        <v>81</v>
      </c>
      <c r="C28" s="4" t="s">
        <v>82</v>
      </c>
      <c r="D28" s="4" t="s">
        <v>83</v>
      </c>
    </row>
    <row r="29" spans="1:4" ht="57.6" x14ac:dyDescent="0.3">
      <c r="A29" s="4">
        <v>27</v>
      </c>
      <c r="B29" s="4" t="s">
        <v>84</v>
      </c>
      <c r="C29" s="4" t="s">
        <v>85</v>
      </c>
      <c r="D29" s="4" t="s">
        <v>86</v>
      </c>
    </row>
    <row r="30" spans="1:4" ht="144" x14ac:dyDescent="0.3">
      <c r="A30" s="4">
        <v>28</v>
      </c>
      <c r="B30" s="4" t="s">
        <v>87</v>
      </c>
      <c r="C30" s="4" t="s">
        <v>88</v>
      </c>
      <c r="D30" s="4" t="s">
        <v>89</v>
      </c>
    </row>
    <row r="31" spans="1:4" ht="43.2" x14ac:dyDescent="0.3">
      <c r="A31" s="4">
        <v>29</v>
      </c>
      <c r="B31" s="4" t="s">
        <v>90</v>
      </c>
      <c r="C31" s="4" t="s">
        <v>91</v>
      </c>
      <c r="D31" s="4" t="s">
        <v>92</v>
      </c>
    </row>
    <row r="32" spans="1:4" ht="72" x14ac:dyDescent="0.3">
      <c r="A32" s="4">
        <v>30</v>
      </c>
      <c r="B32" s="4" t="s">
        <v>93</v>
      </c>
      <c r="C32" s="4" t="s">
        <v>94</v>
      </c>
      <c r="D32" s="4" t="s">
        <v>95</v>
      </c>
    </row>
    <row r="33" spans="1:4" ht="57.6" x14ac:dyDescent="0.3">
      <c r="A33" s="4">
        <v>31</v>
      </c>
      <c r="B33" s="4" t="s">
        <v>96</v>
      </c>
      <c r="C33" s="4" t="s">
        <v>97</v>
      </c>
      <c r="D33" s="4" t="s">
        <v>98</v>
      </c>
    </row>
    <row r="34" spans="1:4" ht="57.6" x14ac:dyDescent="0.3">
      <c r="A34" s="4">
        <v>32</v>
      </c>
      <c r="B34" s="4" t="s">
        <v>99</v>
      </c>
      <c r="C34" s="4" t="s">
        <v>100</v>
      </c>
      <c r="D34" s="4" t="s">
        <v>101</v>
      </c>
    </row>
    <row r="35" spans="1:4" ht="57.6" x14ac:dyDescent="0.3">
      <c r="A35" s="4">
        <v>33</v>
      </c>
      <c r="B35" s="4" t="s">
        <v>102</v>
      </c>
      <c r="C35" s="4" t="s">
        <v>103</v>
      </c>
      <c r="D35" s="4" t="s">
        <v>104</v>
      </c>
    </row>
    <row r="36" spans="1:4" ht="86.4" x14ac:dyDescent="0.3">
      <c r="A36" s="4">
        <v>34</v>
      </c>
      <c r="B36" s="4" t="s">
        <v>105</v>
      </c>
      <c r="C36" s="4" t="s">
        <v>106</v>
      </c>
      <c r="D36" s="4" t="s">
        <v>107</v>
      </c>
    </row>
    <row r="37" spans="1:4" ht="57.6" x14ac:dyDescent="0.3">
      <c r="A37" s="4">
        <v>35</v>
      </c>
      <c r="B37" s="4" t="s">
        <v>108</v>
      </c>
      <c r="C37" s="4" t="s">
        <v>109</v>
      </c>
      <c r="D37" s="4" t="s">
        <v>110</v>
      </c>
    </row>
    <row r="38" spans="1:4" ht="72" x14ac:dyDescent="0.3">
      <c r="A38" s="4">
        <v>36</v>
      </c>
      <c r="B38" s="4" t="s">
        <v>111</v>
      </c>
      <c r="C38" s="4" t="s">
        <v>112</v>
      </c>
      <c r="D38" s="4" t="s">
        <v>113</v>
      </c>
    </row>
    <row r="39" spans="1:4" ht="72" x14ac:dyDescent="0.3">
      <c r="A39" s="4">
        <v>37</v>
      </c>
      <c r="B39" s="7" t="s">
        <v>114</v>
      </c>
      <c r="C39" s="6" t="s">
        <v>115</v>
      </c>
      <c r="D39" s="8" t="s">
        <v>116</v>
      </c>
    </row>
    <row r="40" spans="1:4" ht="150.6" customHeight="1" x14ac:dyDescent="0.3">
      <c r="A40" s="4">
        <v>38</v>
      </c>
      <c r="B40" s="4" t="s">
        <v>117</v>
      </c>
      <c r="C40" s="4" t="s">
        <v>118</v>
      </c>
      <c r="D40" s="4"/>
    </row>
    <row r="41" spans="1:4" ht="86.4" x14ac:dyDescent="0.3">
      <c r="A41" s="4">
        <v>39</v>
      </c>
      <c r="B41" s="7" t="s">
        <v>117</v>
      </c>
      <c r="C41" s="6" t="s">
        <v>119</v>
      </c>
      <c r="D41" s="7" t="s">
        <v>120</v>
      </c>
    </row>
    <row r="42" spans="1:4" ht="43.2" x14ac:dyDescent="0.3">
      <c r="A42" s="4">
        <v>40</v>
      </c>
      <c r="B42" s="4" t="s">
        <v>121</v>
      </c>
      <c r="C42" s="4" t="s">
        <v>122</v>
      </c>
      <c r="D42" s="8" t="s">
        <v>123</v>
      </c>
    </row>
    <row r="43" spans="1:4" ht="129.6" x14ac:dyDescent="0.3">
      <c r="A43" s="4">
        <v>41</v>
      </c>
      <c r="B43" s="4" t="s">
        <v>124</v>
      </c>
      <c r="C43" s="4" t="s">
        <v>125</v>
      </c>
      <c r="D43" s="8" t="s">
        <v>126</v>
      </c>
    </row>
    <row r="44" spans="1:4" ht="43.2" x14ac:dyDescent="0.3">
      <c r="A44" s="4">
        <v>42</v>
      </c>
      <c r="B44" s="4" t="s">
        <v>127</v>
      </c>
      <c r="C44" s="4" t="s">
        <v>128</v>
      </c>
      <c r="D44" s="4" t="s">
        <v>8</v>
      </c>
    </row>
    <row r="45" spans="1:4" ht="72" x14ac:dyDescent="0.3">
      <c r="A45" s="4">
        <v>43</v>
      </c>
      <c r="B45" s="4" t="s">
        <v>129</v>
      </c>
      <c r="C45" s="4" t="s">
        <v>130</v>
      </c>
      <c r="D45" s="4" t="s">
        <v>80</v>
      </c>
    </row>
    <row r="46" spans="1:4" ht="144" x14ac:dyDescent="0.3">
      <c r="A46" s="4">
        <v>44</v>
      </c>
      <c r="B46" s="4" t="s">
        <v>131</v>
      </c>
      <c r="C46" s="4" t="s">
        <v>132</v>
      </c>
      <c r="D46" s="4" t="s">
        <v>133</v>
      </c>
    </row>
    <row r="47" spans="1:4" ht="201.6" x14ac:dyDescent="0.3">
      <c r="A47" s="4">
        <v>45</v>
      </c>
      <c r="B47" s="4" t="s">
        <v>134</v>
      </c>
      <c r="C47" s="4" t="s">
        <v>135</v>
      </c>
      <c r="D47" s="4" t="s">
        <v>136</v>
      </c>
    </row>
    <row r="48" spans="1:4" ht="198.6" customHeight="1" x14ac:dyDescent="0.3">
      <c r="A48" s="4">
        <v>46</v>
      </c>
      <c r="B48" s="4" t="s">
        <v>137</v>
      </c>
      <c r="C48" s="4" t="s">
        <v>138</v>
      </c>
      <c r="D48" s="4" t="s">
        <v>139</v>
      </c>
    </row>
    <row r="49" spans="1:4" ht="72" x14ac:dyDescent="0.3">
      <c r="A49" s="4">
        <v>47</v>
      </c>
      <c r="B49" s="9" t="s">
        <v>140</v>
      </c>
      <c r="C49" s="10" t="s">
        <v>141</v>
      </c>
      <c r="D49" s="9" t="s">
        <v>142</v>
      </c>
    </row>
    <row r="50" spans="1:4" ht="129.6" x14ac:dyDescent="0.3">
      <c r="A50" s="4">
        <v>48</v>
      </c>
      <c r="B50" s="10" t="s">
        <v>143</v>
      </c>
      <c r="C50" s="10" t="s">
        <v>144</v>
      </c>
      <c r="D50" s="9" t="s">
        <v>145</v>
      </c>
    </row>
    <row r="51" spans="1:4" ht="72" x14ac:dyDescent="0.3">
      <c r="A51" s="4">
        <v>49</v>
      </c>
      <c r="B51" s="9" t="s">
        <v>146</v>
      </c>
      <c r="C51" s="10" t="s">
        <v>147</v>
      </c>
      <c r="D51" s="9"/>
    </row>
  </sheetData>
  <hyperlinks>
    <hyperlink ref="A1" r:id="rId1" xr:uid="{21E4AAA2-E82A-47E2-B65A-2D66BF35759B}"/>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SQL-PRACTICE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Prateek</dc:creator>
  <cp:lastModifiedBy>Gupta, Prateek</cp:lastModifiedBy>
  <dcterms:created xsi:type="dcterms:W3CDTF">2026-04-08T19:35:18Z</dcterms:created>
  <dcterms:modified xsi:type="dcterms:W3CDTF">2026-04-08T19:50:37Z</dcterms:modified>
</cp:coreProperties>
</file>